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<sst xmlns="http://schemas.openxmlformats.org/spreadsheetml/2006/main" count="51" uniqueCount="51">
  <si>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Discounted Cash Flow Model Template</t>
  </si>
  <si>
    <t xml:space="preserve">Company: [Name]   Ticker: [XXX]   Valuation date: [Date]   All figures in $mm unless noted</t>
  </si>
  <si>
    <t xml:space="preserve">Legend</t>
  </si>
  <si>
    <t xml:space="preserve">Blue text on yellow fill = input cells you edit</t>
  </si>
  <si>
    <t xml:space="preserve">Black text = formulas, do not overwrite</t>
  </si>
  <si>
    <t xml:space="preserve">Example values shown are placeholders for a generic company; replace with your own from the 10-K</t>
  </si>
  <si>
    <t xml:space="preserve">ASSUMPTIONS</t>
  </si>
  <si>
    <t xml:space="preserve">Base year revenue ($mm)</t>
  </si>
  <si>
    <t xml:space="preserve">Revenue growth, Year 1</t>
  </si>
  <si>
    <t xml:space="preserve">Revenue growth, Year 5 (fades linearly)</t>
  </si>
  <si>
    <t xml:space="preserve">EBIT margin</t>
  </si>
  <si>
    <t xml:space="preserve">Tax rate</t>
  </si>
  <si>
    <t xml:space="preserve">D&amp;A, % of revenue</t>
  </si>
  <si>
    <t xml:space="preserve">Capex, % of revenue</t>
  </si>
  <si>
    <t xml:space="preserve">Change in NWC, % of revenue change</t>
  </si>
  <si>
    <t xml:space="preserve">WACC</t>
  </si>
  <si>
    <t xml:space="preserve">Terminal growth rate</t>
  </si>
  <si>
    <t xml:space="preserve">Net debt ($mm)</t>
  </si>
  <si>
    <t xml:space="preserve">Diluted shares outstanding (mm)</t>
  </si>
  <si>
    <t xml:space="preserve">PROJECTION</t>
  </si>
  <si>
    <t xml:space="preserve">Year</t>
  </si>
  <si>
    <t xml:space="preserve">Base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</si>
  <si>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</si>
  <si>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</si>
  <si>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</si>
  <si>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</si>
  <si>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</si>
  <si>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growth</t>
  </si>
  <si>
    <t xml:space="preserve">Revenue</t>
  </si>
  <si>
    <t xml:space="preserve">EBIT</t>
  </si>
  <si>
    <t xml:space="preserve">Taxes on EBIT</t>
  </si>
  <si>
    <t xml:space="preserve">NOPAT</t>
  </si>
  <si>
    <t xml:space="preserve">Plus: D&amp;A</t>
  </si>
  <si>
    <t xml:space="preserve">Less: Capex</t>
  </si>
  <si>
    <t xml:space="preserve">Less: Change in NWC</t>
  </si>
  <si>
    <t xml:space="preserve">Unlevered free cash flow</t>
  </si>
  <si>
    <t xml:space="preserve">Discount period</t>
  </si>
  <si>
    <t xml:space="preserve">Discount factor</t>
  </si>
  <si>
    <t xml:space="preserve">PV of FCF</t>
  </si>
  <si>
    <t xml:space="preserve">VALUATION</t>
  </si>
  <si>
    <t xml:space="preserve">Sum of PV of FCF (Years 1-5)</t>
  </si>
  <si>
    <t xml:space="preserve">Terminal value (Year 5)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</si>
  <si>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</si>
  <si>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</si>
  <si>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</si>
  <si>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</si>
  <si>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Implied value per share ($)</t>
  </si>
  <si>
    <t xml:space="preserve">% of EV from terminal value</t>
  </si>
  <si>
    <t xml:space="preserve">Sanity checks: terminal value share above ~75% means the answer depends mostly on assumptions beyond Year 5.</t>
  </si>
  <si>
    <t xml:space="preserve">Sensitivity: re-run value per share flexing WACC +/- 1% and terminal growth +/- 0.5% and record results in your note.</t>
  </si>
  <si>
    <t xml:space="preserve">Sources: replace every blue input with a figure cited from the 10-K or latest 10-Q (SEC EDGAR).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</si>
</sst>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#,##0"/>
    <numFmt numFmtId="168" formatCode="\$#,##0;&quot;($&quot;#,##0\);\-"/>
    <numFmt numFmtId="169" formatCode="0"/>
    <numFmt numFmtId="170" formatCode="0.000"/>
    <numFmt numFmtId="171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6" t="s">
        <v>6</v>
      </c>
    </row>
    <row r="10" customFormat="false" ht="15" hidden="false" customHeight="false" outlineLevel="0" collapsed="false">
      <c r="A10" s="5" t="s">
        <v>7</v>
      </c>
      <c r="B10" s="7" t="n">
        <v>10000</v>
      </c>
    </row>
    <row r="11" customFormat="false" ht="15" hidden="false" customHeight="false" outlineLevel="0" collapsed="false">
      <c r="A11" s="5" t="s">
        <v>8</v>
      </c>
      <c r="B11" s="8" t="n">
        <v>0.1</v>
      </c>
    </row>
    <row r="12" customFormat="false" ht="15" hidden="false" customHeight="false" outlineLevel="0" collapsed="false">
      <c r="A12" s="5" t="s">
        <v>9</v>
      </c>
      <c r="B12" s="8" t="n">
        <v>0.04</v>
      </c>
    </row>
    <row r="13" customFormat="false" ht="15" hidden="false" customHeight="false" outlineLevel="0" collapsed="false">
      <c r="A13" s="5" t="s">
        <v>10</v>
      </c>
      <c r="B13" s="8" t="n">
        <v>0.2</v>
      </c>
    </row>
    <row r="14" customFormat="false" ht="15" hidden="false" customHeight="false" outlineLevel="0" collapsed="false">
      <c r="A14" s="5" t="s">
        <v>11</v>
      </c>
      <c r="B14" s="8" t="n">
        <v>0.21</v>
      </c>
    </row>
    <row r="15" customFormat="false" ht="15" hidden="false" customHeight="false" outlineLevel="0" collapsed="false">
      <c r="A15" s="5" t="s">
        <v>12</v>
      </c>
      <c r="B15" s="8" t="n">
        <v>0.05</v>
      </c>
    </row>
    <row r="16" customFormat="false" ht="15" hidden="false" customHeight="false" outlineLevel="0" collapsed="false">
      <c r="A16" s="5" t="s">
        <v>13</v>
      </c>
      <c r="B16" s="8" t="n">
        <v>0.06</v>
      </c>
    </row>
    <row r="17" customFormat="false" ht="15" hidden="false" customHeight="false" outlineLevel="0" collapsed="false">
      <c r="A17" s="5" t="s">
        <v>14</v>
      </c>
      <c r="B17" s="8" t="n">
        <v>0.1</v>
      </c>
    </row>
    <row r="18" customFormat="false" ht="15" hidden="false" customHeight="false" outlineLevel="0" collapsed="false">
      <c r="A18" s="5" t="s">
        <v>15</v>
      </c>
      <c r="B18" s="8" t="n">
        <v>0.09</v>
      </c>
    </row>
    <row r="19" customFormat="false" ht="15" hidden="false" customHeight="false" outlineLevel="0" collapsed="false">
      <c r="A19" s="5" t="s">
        <v>16</v>
      </c>
      <c r="B19" s="8" t="n">
        <v>0.025</v>
      </c>
    </row>
    <row r="20" customFormat="false" ht="15" hidden="false" customHeight="false" outlineLevel="0" collapsed="false">
      <c r="A20" s="5" t="s">
        <v>17</v>
      </c>
      <c r="B20" s="7" t="n">
        <v>2000</v>
      </c>
    </row>
    <row r="21" customFormat="false" ht="15" hidden="false" customHeight="false" outlineLevel="0" collapsed="false">
      <c r="A21" s="5" t="s">
        <v>18</v>
      </c>
      <c r="B21" s="9" t="n">
        <v>500</v>
      </c>
    </row>
    <row r="24" customFormat="false" ht="15" hidden="false" customHeight="false" outlineLevel="0" collapsed="false">
      <c r="A24" s="6" t="s">
        <v>19</v>
      </c>
    </row>
    <row r="25" customFormat="false" ht="15" hidden="false" customHeight="false" outlineLevel="0" collapsed="false">
      <c r="A25" s="5" t="s">
        <v>20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26</v>
      </c>
    </row>
    <row r="26" customFormat="false" ht="15" hidden="false" customHeight="false" outlineLevel="0" collapsed="false">
      <c r="A26" s="5" t="s">
        <v>27</v>
      </c>
      <c r="C26" s="10" t="n">
        <f aca="false">$B$11</f>
        <v>0.1</v>
      </c>
      <c r="D26" s="10" t="n">
        <f aca="false">C26-($B$11-$B$12)/4</f>
        <v>0.085</v>
      </c>
      <c r="E26" s="10" t="n">
        <f aca="false">D26-($B$11-$B$12)/4</f>
        <v>0.07</v>
      </c>
      <c r="F26" s="10" t="n">
        <f aca="false">E26-($B$11-$B$12)/4</f>
        <v>0.055</v>
      </c>
      <c r="G26" s="10" t="n">
        <f aca="false">F26-($B$11-$B$12)/4</f>
        <v>0.04</v>
      </c>
    </row>
    <row r="27" customFormat="false" ht="15" hidden="false" customHeight="false" outlineLevel="0" collapsed="false">
      <c r="A27" s="5" t="s">
        <v>28</v>
      </c>
      <c r="B27" s="11" t="n">
        <f aca="false">B10</f>
        <v>10000</v>
      </c>
      <c r="C27" s="11" t="n">
        <f aca="false">B27*(1+C26)</f>
        <v>11000</v>
      </c>
      <c r="D27" s="11" t="n">
        <f aca="false">C27*(1+D26)</f>
        <v>11935</v>
      </c>
      <c r="E27" s="11" t="n">
        <f aca="false">D27*(1+E26)</f>
        <v>12770.45</v>
      </c>
      <c r="F27" s="11" t="n">
        <f aca="false">E27*(1+F26)</f>
        <v>13472.82475</v>
      </c>
      <c r="G27" s="11" t="n">
        <f aca="false">F27*(1+G26)</f>
        <v>14011.73774</v>
      </c>
    </row>
    <row r="28" customFormat="false" ht="15" hidden="false" customHeight="false" outlineLevel="0" collapsed="false">
      <c r="A28" s="5" t="s">
        <v>29</v>
      </c>
      <c r="C28" s="11" t="n">
        <f aca="false">C27*$B$13</f>
        <v>2200</v>
      </c>
      <c r="D28" s="11" t="n">
        <f aca="false">D27*$B$13</f>
        <v>2387</v>
      </c>
      <c r="E28" s="11" t="n">
        <f aca="false">E27*$B$13</f>
        <v>2554.09</v>
      </c>
      <c r="F28" s="11" t="n">
        <f aca="false">F27*$B$13</f>
        <v>2694.56495</v>
      </c>
      <c r="G28" s="11" t="n">
        <f aca="false">G27*$B$13</f>
        <v>2802.347548</v>
      </c>
    </row>
    <row r="29" customFormat="false" ht="15" hidden="false" customHeight="false" outlineLevel="0" collapsed="false">
      <c r="A29" s="5" t="s">
        <v>30</v>
      </c>
      <c r="C29" s="12" t="n">
        <f aca="false">-C28*$B$14</f>
        <v>-462</v>
      </c>
      <c r="D29" s="12" t="n">
        <f aca="false">-D28*$B$14</f>
        <v>-501.27</v>
      </c>
      <c r="E29" s="12" t="n">
        <f aca="false">-E28*$B$14</f>
        <v>-536.3589</v>
      </c>
      <c r="F29" s="12" t="n">
        <f aca="false">-F28*$B$14</f>
        <v>-565.8586395</v>
      </c>
      <c r="G29" s="12" t="n">
        <f aca="false">-G28*$B$14</f>
        <v>-588.49298508</v>
      </c>
    </row>
    <row r="30" customFormat="false" ht="15" hidden="false" customHeight="false" outlineLevel="0" collapsed="false">
      <c r="A30" s="5" t="s">
        <v>31</v>
      </c>
      <c r="C30" s="11" t="n">
        <f aca="false">C28+C29</f>
        <v>1738</v>
      </c>
      <c r="D30" s="11" t="n">
        <f aca="false">D28+D29</f>
        <v>1885.73</v>
      </c>
      <c r="E30" s="11" t="n">
        <f aca="false">E28+E29</f>
        <v>2017.7311</v>
      </c>
      <c r="F30" s="11" t="n">
        <f aca="false">F28+F29</f>
        <v>2128.7063105</v>
      </c>
      <c r="G30" s="11" t="n">
        <f aca="false">G28+G29</f>
        <v>2213.85456292</v>
      </c>
    </row>
    <row r="31" customFormat="false" ht="15" hidden="false" customHeight="false" outlineLevel="0" collapsed="false">
      <c r="A31" s="5" t="s">
        <v>32</v>
      </c>
      <c r="C31" s="11" t="n">
        <f aca="false">C27*$B$15</f>
        <v>550</v>
      </c>
      <c r="D31" s="11" t="n">
        <f aca="false">D27*$B$15</f>
        <v>596.75</v>
      </c>
      <c r="E31" s="11" t="n">
        <f aca="false">E27*$B$15</f>
        <v>638.5225</v>
      </c>
      <c r="F31" s="11" t="n">
        <f aca="false">F27*$B$15</f>
        <v>673.6412375</v>
      </c>
      <c r="G31" s="11" t="n">
        <f aca="false">G27*$B$15</f>
        <v>700.586887</v>
      </c>
    </row>
    <row r="32" customFormat="false" ht="15" hidden="false" customHeight="false" outlineLevel="0" collapsed="false">
      <c r="A32" s="5" t="s">
        <v>33</v>
      </c>
      <c r="C32" s="12" t="n">
        <f aca="false">-C27*$B$16</f>
        <v>-660</v>
      </c>
      <c r="D32" s="12" t="n">
        <f aca="false">-D27*$B$16</f>
        <v>-716.1</v>
      </c>
      <c r="E32" s="12" t="n">
        <f aca="false">-E27*$B$16</f>
        <v>-766.227</v>
      </c>
      <c r="F32" s="12" t="n">
        <f aca="false">-F27*$B$16</f>
        <v>-808.369485</v>
      </c>
      <c r="G32" s="12" t="n">
        <f aca="false">-G27*$B$16</f>
        <v>-840.7042644</v>
      </c>
    </row>
    <row r="33" customFormat="false" ht="15" hidden="false" customHeight="false" outlineLevel="0" collapsed="false">
      <c r="A33" s="5" t="s">
        <v>34</v>
      </c>
      <c r="C33" s="12" t="n">
        <f aca="false">-(C27-$B$27)*$B$17</f>
        <v>-100</v>
      </c>
      <c r="D33" s="12" t="n">
        <f aca="false">-(D27-C27)*$B$17</f>
        <v>-93.5</v>
      </c>
      <c r="E33" s="12" t="n">
        <f aca="false">-(E27-D27)*$B$17</f>
        <v>-83.5450000000001</v>
      </c>
      <c r="F33" s="12" t="n">
        <f aca="false">-(F27-E27)*$B$17</f>
        <v>-70.2374749999999</v>
      </c>
      <c r="G33" s="12" t="n">
        <f aca="false">-(G27-F27)*$B$17</f>
        <v>-53.8912990000001</v>
      </c>
    </row>
    <row r="34" customFormat="false" ht="15" hidden="false" customHeight="false" outlineLevel="0" collapsed="false">
      <c r="A34" s="3" t="s">
        <v>35</v>
      </c>
      <c r="C34" s="13" t="n">
        <f aca="false">C30+C31+C32+C33</f>
        <v>1528</v>
      </c>
      <c r="D34" s="13" t="n">
        <f aca="false">D30+D31+D32+D33</f>
        <v>1672.88</v>
      </c>
      <c r="E34" s="13" t="n">
        <f aca="false">E30+E31+E32+E33</f>
        <v>1806.4816</v>
      </c>
      <c r="F34" s="13" t="n">
        <f aca="false">F30+F31+F32+F33</f>
        <v>1923.740588</v>
      </c>
      <c r="G34" s="13" t="n">
        <f aca="false">G30+G31+G32+G33</f>
        <v>2019.84588652</v>
      </c>
    </row>
    <row r="35" customFormat="false" ht="15" hidden="false" customHeight="false" outlineLevel="0" collapsed="false">
      <c r="A35" s="5" t="s">
        <v>36</v>
      </c>
      <c r="C35" s="14" t="n">
        <v>1</v>
      </c>
      <c r="D35" s="14" t="n">
        <v>2</v>
      </c>
      <c r="E35" s="14" t="n">
        <v>3</v>
      </c>
      <c r="F35" s="14" t="n">
        <v>4</v>
      </c>
      <c r="G35" s="14" t="n">
        <v>5</v>
      </c>
    </row>
    <row r="36" customFormat="false" ht="15" hidden="false" customHeight="false" outlineLevel="0" collapsed="false">
      <c r="A36" s="5" t="s">
        <v>37</v>
      </c>
      <c r="C36" s="15" t="n">
        <f aca="false">1/(1+$B$18)^C35</f>
        <v>0.91743119266055</v>
      </c>
      <c r="D36" s="15" t="n">
        <f aca="false">1/(1+$B$18)^D35</f>
        <v>0.84167999326656</v>
      </c>
      <c r="E36" s="15" t="n">
        <f aca="false">1/(1+$B$18)^E35</f>
        <v>0.772183480061064</v>
      </c>
      <c r="F36" s="15" t="n">
        <f aca="false">1/(1+$B$18)^F35</f>
        <v>0.708425211065196</v>
      </c>
      <c r="G36" s="15" t="n">
        <f aca="false">1/(1+$B$18)^G35</f>
        <v>0.649931386298345</v>
      </c>
    </row>
    <row r="37" customFormat="false" ht="15" hidden="false" customHeight="false" outlineLevel="0" collapsed="false">
      <c r="A37" s="5" t="s">
        <v>38</v>
      </c>
      <c r="C37" s="11" t="n">
        <f aca="false">C34*C36</f>
        <v>1401.83486238532</v>
      </c>
      <c r="D37" s="11" t="n">
        <f aca="false">D34*D36</f>
        <v>1408.02962713576</v>
      </c>
      <c r="E37" s="11" t="n">
        <f aca="false">E34*E36</f>
        <v>1394.93524855428</v>
      </c>
      <c r="F37" s="11" t="n">
        <f aca="false">F34*F36</f>
        <v>1362.82633208858</v>
      </c>
      <c r="G37" s="11" t="n">
        <f aca="false">G34*G36</f>
        <v>1312.76123713495</v>
      </c>
    </row>
    <row r="40" customFormat="false" ht="15" hidden="false" customHeight="false" outlineLevel="0" collapsed="false">
      <c r="A40" s="6" t="s">
        <v>39</v>
      </c>
    </row>
    <row r="41" customFormat="false" ht="15" hidden="false" customHeight="false" outlineLevel="0" collapsed="false">
      <c r="A41" s="5" t="s">
        <v>40</v>
      </c>
      <c r="B41" s="11" t="n">
        <f aca="false">SUM(C37:G37)</f>
        <v>6880.3873072989</v>
      </c>
    </row>
    <row r="42" customFormat="false" ht="15" hidden="false" customHeight="false" outlineLevel="0" collapsed="false">
      <c r="A42" s="5" t="s">
        <v>41</v>
      </c>
      <c r="B42" s="11" t="n">
        <f aca="false">G34*(1+$B$19)/($B$18-$B$19)</f>
        <v>31851.4159028154</v>
      </c>
    </row>
    <row r="43" customFormat="false" ht="15" hidden="false" customHeight="false" outlineLevel="0" collapsed="false">
      <c r="A43" s="5" t="s">
        <v>42</v>
      </c>
      <c r="B43" s="11" t="n">
        <f aca="false">B42*G36</f>
        <v>20701.234893282</v>
      </c>
    </row>
    <row r="44" customFormat="false" ht="15" hidden="false" customHeight="false" outlineLevel="0" collapsed="false">
      <c r="A44" s="3" t="s">
        <v>43</v>
      </c>
      <c r="B44" s="13" t="n">
        <f aca="false">B41+B43</f>
        <v>27581.6222005809</v>
      </c>
    </row>
    <row r="45" customFormat="false" ht="15" hidden="false" customHeight="false" outlineLevel="0" collapsed="false">
      <c r="A45" s="5" t="s">
        <v>44</v>
      </c>
      <c r="B45" s="12" t="n">
        <f aca="false">-B20</f>
        <v>-2000</v>
      </c>
    </row>
    <row r="46" customFormat="false" ht="15" hidden="false" customHeight="false" outlineLevel="0" collapsed="false">
      <c r="A46" s="3" t="s">
        <v>45</v>
      </c>
      <c r="B46" s="13" t="n">
        <f aca="false">B44+B45</f>
        <v>25581.6222005809</v>
      </c>
    </row>
    <row r="47" customFormat="false" ht="15" hidden="false" customHeight="false" outlineLevel="0" collapsed="false">
      <c r="A47" s="3" t="s">
        <v>46</v>
      </c>
      <c r="B47" s="16" t="n">
        <f aca="false">B46/B21</f>
        <v>51.1632444011617</v>
      </c>
    </row>
    <row r="48" customFormat="false" ht="15" hidden="false" customHeight="false" outlineLevel="0" collapsed="false">
      <c r="A48" s="5" t="s">
        <v>47</v>
      </c>
      <c r="B48" s="10" t="n">
        <f aca="false">B43/B44</f>
        <v>0.75054450179678</v>
      </c>
    </row>
    <row r="50" customFormat="false" ht="15" hidden="false" customHeight="false" outlineLevel="0" collapsed="false">
      <c r="A50" s="2" t="s">
        <v>48</v>
      </c>
    </row>
    <row r="51" customFormat="false" ht="15" hidden="false" customHeight="false" outlineLevel="0" collapsed="false">
      <c r="A51" s="2" t="s">
        <v>49</v>
      </c>
    </row>
    <row r="52" customFormat="false" ht="15" hidden="false" customHeight="false" outlineLevel="0" collapsed="false">
      <c r="A52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2026-07-20T16:55:54Z</dcterms:created>
  <dc:creator>openpyxl</dc:creator>
  <dc:description/>
  <dc:language>en-US</dc:language>
  <cp:lastModifiedBy/>
  <dcterms:modified xsi:type="dcterms:W3CDTF">2026-07-20T16:55:54Z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